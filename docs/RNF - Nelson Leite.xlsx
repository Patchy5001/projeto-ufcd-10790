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. Funcionais (RF)" sheetId="1" state="visible" r:id="rId2"/>
    <sheet name="Req. Não Funcionais (RNF)" sheetId="2" state="visible" r:id="rId3"/>
    <sheet name="Resumo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<sst xmlns="http://schemas.openxmlformats.org/spreadsheetml/2006/main" count="155" uniqueCount="107">
  <si>
    <t xml:space="preserve">UFCD 10790 – Levantamento de Requisitos Nao Funcionais (RF)   |   Projeto: ___________________________   |   Grupo: ___________</t>
  </si>
  <si>
    <t xml:space="preserve">Data: ___/___/______     Versão: 1.0     Formador: ___________________________     Estado geral: Em curso</t>
  </si>
  <si>
    <t xml:space="preserve">ID</t>
  </si>
  <si>
    <t xml:space="preserve">Nome do Requisito</t>
  </si>
  <si>
    <t xml:space="preserve">Descrição Detalhada</t>
  </si>
  <si>
    <t xml:space="preserve">Ator / Utilizador</t>
  </si>
  <si>
    <t xml:space="preserve">Prioridade</t>
  </si>
  <si>
    <t xml:space="preserve">Estado</t>
  </si>
  <si>
    <t xml:space="preserve">Critério de Aceitação</t>
  </si>
  <si>
    <t xml:space="preserve">Notas / Observações</t>
  </si>
  <si>
    <t xml:space="preserve">Módulo</t>
  </si>
  <si>
    <t xml:space="preserve">RNF01</t>
  </si>
  <si>
    <t xml:space="preserve">Python</t>
  </si>
  <si>
    <t xml:space="preserve">Desenvolver em Python </t>
  </si>
  <si>
    <t xml:space="preserve">Sistema</t>
  </si>
  <si>
    <t xml:space="preserve">Alta</t>
  </si>
  <si>
    <t xml:space="preserve">Pendente</t>
  </si>
  <si>
    <t xml:space="preserve">Executar sem erros </t>
  </si>
  <si>
    <t xml:space="preserve">Linguagem principal</t>
  </si>
  <si>
    <t xml:space="preserve">Geral</t>
  </si>
  <si>
    <t xml:space="preserve">RNF02</t>
  </si>
  <si>
    <t xml:space="preserve">Base de dos SQL</t>
  </si>
  <si>
    <t xml:space="preserve">Uso de base de dados SQL</t>
  </si>
  <si>
    <t xml:space="preserve">Dados persistem após fechar </t>
  </si>
  <si>
    <t xml:space="preserve">Armazenamento </t>
  </si>
  <si>
    <t xml:space="preserve">Dados</t>
  </si>
  <si>
    <t xml:space="preserve">RNF03</t>
  </si>
  <si>
    <t xml:space="preserve">Uso</t>
  </si>
  <si>
    <t xml:space="preserve">Sistema simples </t>
  </si>
  <si>
    <t xml:space="preserve">Utilizador</t>
  </si>
  <si>
    <t xml:space="preserve">Utilizador consegue usar facilmente</t>
  </si>
  <si>
    <t xml:space="preserve">Menus simples</t>
  </si>
  <si>
    <t xml:space="preserve">Interface</t>
  </si>
  <si>
    <t xml:space="preserve">RNF04</t>
  </si>
  <si>
    <t xml:space="preserve">Segurança basica</t>
  </si>
  <si>
    <t xml:space="preserve">Sistema com login obrigatorio </t>
  </si>
  <si>
    <t xml:space="preserve">Média</t>
  </si>
  <si>
    <t xml:space="preserve">Sem login não tem acesso no sistema</t>
  </si>
  <si>
    <t xml:space="preserve">Proteçao basica</t>
  </si>
  <si>
    <t xml:space="preserve">Segurança</t>
  </si>
  <si>
    <t xml:space="preserve">RNF05</t>
  </si>
  <si>
    <t xml:space="preserve">Desempenho</t>
  </si>
  <si>
    <t xml:space="preserve">Execuçao rapida das operaçoes </t>
  </si>
  <si>
    <t xml:space="preserve">Operaçoes sem atros relevantes</t>
  </si>
  <si>
    <t xml:space="preserve">Uso local</t>
  </si>
  <si>
    <t xml:space="preserve">Perfomance</t>
  </si>
  <si>
    <t xml:space="preserve">RNF06</t>
  </si>
  <si>
    <t xml:space="preserve">Persistencia de dados</t>
  </si>
  <si>
    <t xml:space="preserve">Dados não podem ser perdidos na base de dados </t>
  </si>
  <si>
    <t xml:space="preserve">RF07</t>
  </si>
  <si>
    <t xml:space="preserve">RF08</t>
  </si>
  <si>
    <t xml:space="preserve">RF09</t>
  </si>
  <si>
    <t xml:space="preserve">RF10</t>
  </si>
  <si>
    <t xml:space="preserve">RF11</t>
  </si>
  <si>
    <t xml:space="preserve">RF12</t>
  </si>
  <si>
    <t xml:space="preserve">RF13</t>
  </si>
  <si>
    <t xml:space="preserve">RF14</t>
  </si>
  <si>
    <t xml:space="preserve">RF15</t>
  </si>
  <si>
    <t xml:space="preserve">Total de requisitos  Nao Funcionais (RF)</t>
  </si>
  <si>
    <t xml:space="preserve">Prioridade:    Alta = obrigatório para a entrega    |    Média = importante mas não crítico    |    Baixa = nice-to-have</t>
  </si>
  <si>
    <t xml:space="preserve">UFCD 10790 – Levantamento de Requisitos Não Funcionais (RNF)   |   Projeto: ___________________________   |   Grupo: ___________</t>
  </si>
  <si>
    <t xml:space="preserve">As páginas devem carregar em menos de 2 segundos em condições normais de utilização.</t>
  </si>
  <si>
    <t xml:space="preserve">Todos</t>
  </si>
  <si>
    <t xml:space="preserve">Medição com ferramenta de profiling. Tempo médio &lt; 2s em 90% dos casos.</t>
  </si>
  <si>
    <t xml:space="preserve">Testar com base de dados de 1000 produtos.</t>
  </si>
  <si>
    <t xml:space="preserve">Performance</t>
  </si>
  <si>
    <t xml:space="preserve">Segurança de Passwords</t>
  </si>
  <si>
    <t xml:space="preserve">As passwords devem ser armazenadas com hash (bcrypt ou equivalente) — nunca em texto simples.</t>
  </si>
  <si>
    <t xml:space="preserve">Inspecionar a BD: o campo password não contém texto legível.</t>
  </si>
  <si>
    <t xml:space="preserve">Usar biblioteca bcrypt do Python.</t>
  </si>
  <si>
    <t xml:space="preserve">Usabilidade</t>
  </si>
  <si>
    <t xml:space="preserve">A interface deve ser intuitiva e utilizável por um utilizador sem formação prévia.</t>
  </si>
  <si>
    <t xml:space="preserve">Cliente</t>
  </si>
  <si>
    <t xml:space="preserve">Utilizador consegue completar uma compra em menos de 5 minutos sem ajuda.</t>
  </si>
  <si>
    <t xml:space="preserve">UX</t>
  </si>
  <si>
    <t xml:space="preserve">Disponibilidade</t>
  </si>
  <si>
    <t xml:space="preserve">O sistema deve estar disponível 99% do tempo em horário laboral (9h-18h, dias úteis).</t>
  </si>
  <si>
    <t xml:space="preserve">Monitorização com uptime &lt; 1% de downtime no período de avaliação.</t>
  </si>
  <si>
    <t xml:space="preserve">Infraestrutura</t>
  </si>
  <si>
    <t xml:space="preserve">Compatibilidade</t>
  </si>
  <si>
    <t xml:space="preserve">A aplicação deve funcionar nos browsers Chrome, Firefox e Edge (versões actuais).</t>
  </si>
  <si>
    <t xml:space="preserve">Baixa</t>
  </si>
  <si>
    <t xml:space="preserve">Testar as funcionalidades principais nos três browsers sem erros visuais.</t>
  </si>
  <si>
    <t xml:space="preserve">Não é necessário suporte a Internet Explorer.</t>
  </si>
  <si>
    <t xml:space="preserve">← Descreva o requisito de forma clara e verificável</t>
  </si>
  <si>
    <t xml:space="preserve">← Como confirmar que está implementado?</t>
  </si>
  <si>
    <t xml:space="preserve">RNF07</t>
  </si>
  <si>
    <t xml:space="preserve">RNF08</t>
  </si>
  <si>
    <t xml:space="preserve">RNF09</t>
  </si>
  <si>
    <t xml:space="preserve">RNF10</t>
  </si>
  <si>
    <t xml:space="preserve">RNF11</t>
  </si>
  <si>
    <t xml:space="preserve">RNF12</t>
  </si>
  <si>
    <t xml:space="preserve">RNF13</t>
  </si>
  <si>
    <t xml:space="preserve">Total de requisitos Não Funcionais (RNF)</t>
  </si>
  <si>
    <t xml:space="preserve">UFCD 10790 — Resumo do Levantamento de Requisitos</t>
  </si>
  <si>
    <t xml:space="preserve">Projeto: ___________________________   |   Grupo: ___________   |   Data: ___/___/______</t>
  </si>
  <si>
    <t xml:space="preserve">Indicador</t>
  </si>
  <si>
    <t xml:space="preserve">Funcionais (RF)</t>
  </si>
  <si>
    <t xml:space="preserve">Não Funcionais (RNF)</t>
  </si>
  <si>
    <t xml:space="preserve">Total</t>
  </si>
  <si>
    <t xml:space="preserve">Total de Requisitos</t>
  </si>
  <si>
    <t xml:space="preserve">Prioridade Alta</t>
  </si>
  <si>
    <t xml:space="preserve">Prioridade Média</t>
  </si>
  <si>
    <t xml:space="preserve">Prioridade Baixa</t>
  </si>
  <si>
    <t xml:space="preserve">Concluídos</t>
  </si>
  <si>
    <t xml:space="preserve">Pendentes</t>
  </si>
  <si>
    <t xml:space="preserve">Em curso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</si>
</sst>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004D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4D26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i val="true"/>
      <sz val="10"/>
      <color rgb="FF004D26"/>
      <name val="Arial"/>
      <family val="0"/>
      <charset val="1"/>
    </font>
    <font>
      <i val="true"/>
      <sz val="10"/>
      <color rgb="FF1C1C1C"/>
      <name val="Arial"/>
      <family val="0"/>
      <charset val="1"/>
    </font>
    <font>
      <sz val="10"/>
      <color rgb="FF1A1A1A"/>
      <name val="Arial"/>
      <family val="0"/>
    </font>
    <font>
      <b val="true"/>
      <i val="true"/>
      <sz val="10"/>
      <color rgb="FFFF0000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4A148C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i val="true"/>
      <sz val="10"/>
      <color rgb="FF4A148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004D26"/>
      <name val="Arial"/>
      <family val="0"/>
      <charset val="1"/>
    </font>
    <font>
      <b val="true"/>
      <sz val="11"/>
      <color rgb="FF004D26"/>
      <name val="Arial"/>
      <family val="0"/>
      <charset val="1"/>
    </font>
    <font>
      <b val="true"/>
      <sz val="11"/>
      <color rgb="FF4A148C"/>
      <name val="Arial"/>
      <family val="0"/>
      <charset val="1"/>
    </font>
    <font>
      <sz val="11"/>
      <color rgb="FF004D26"/>
      <name val="Arial"/>
      <family val="0"/>
      <charset val="1"/>
    </font>
    <font>
      <sz val="11"/>
      <color rgb="FF4A148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4D26"/>
        <bgColor rgb="FF003300"/>
      </patternFill>
    </fill>
    <fill>
      <patternFill patternType="solid">
        <fgColor rgb="FFE8F5E9"/>
        <bgColor rgb="FFEEEEEE"/>
      </patternFill>
    </fill>
    <fill>
      <patternFill patternType="solid">
        <fgColor rgb="FFFFFFFF"/>
        <bgColor rgb="FFFAFAFA"/>
      </patternFill>
    </fill>
    <fill>
      <patternFill patternType="solid">
        <fgColor rgb="FFF5F5F5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4A148C"/>
        <bgColor rgb="FF333399"/>
      </patternFill>
    </fill>
    <fill>
      <patternFill patternType="solid">
        <fgColor rgb="FFF3E5F5"/>
        <bgColor rgb="FFEEEEEE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dotted">
        <color rgb="FFEEEEEE"/>
      </left>
      <right style="dotted">
        <color rgb="FFEEEEEE"/>
      </right>
      <top style="dotted">
        <color rgb="FFEEEEEE"/>
      </top>
      <bottom style="dotted">
        <color rgb="FFEEEEEE"/>
      </bottom>
      <diagonal/>
    </border>
    <border diagonalUp="false" diagonalDown="false">
      <left style="thin">
        <color rgb="FF003300"/>
      </left>
      <right/>
      <top style="thin">
        <color rgb="FF003300"/>
      </top>
      <bottom style="thin">
        <color rgb="FF00330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8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8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8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8" fillId="8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9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0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9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8F5E9"/>
      <rgbColor rgb="FF4A148C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F5F5F5"/>
      <rgbColor rgb="FFFFEBEE"/>
      <rgbColor rgb="FFFAFAFA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555555"/>
      <rgbColor rgb="FFAAAAAA"/>
      <rgbColor rgb="FF004D26"/>
      <rgbColor rgb="FF339966"/>
      <rgbColor rgb="FF003300"/>
      <rgbColor rgb="FF1A1A1A"/>
      <rgbColor rgb="FFB71C1C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00"/>
  <sheetViews>
    <sheetView showFormulas="false" showGridLines="false" showRowColHeaders="true" showZeros="true" rightToLeft="false" tabSelected="true" showOutlineSymbols="true" defaultGridColor="true" view="normal" topLeftCell="A1" colorId="64" zoomScale="200" zoomScaleNormal="200" zoomScalePageLayoutView="100" workbookViewId="0">
      <pane xSplit="0" ySplit="4" topLeftCell="A5" activePane="bottomLeft" state="frozen"/>
      <selection pane="topLeft" activeCell="A1" activeCellId="0" sqref="A1"/>
      <selection pane="bottomLeft" activeCell="B12" activeCellId="0" sqref="B12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40.85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26" min="10" style="0" width="8.7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0" hidden="false" customHeight="true" outlineLevel="0" collapsed="false">
      <c r="A5" s="4" t="s">
        <v>11</v>
      </c>
      <c r="B5" s="5" t="s">
        <v>12</v>
      </c>
      <c r="C5" s="5" t="s">
        <v>13</v>
      </c>
      <c r="D5" s="6" t="s">
        <v>14</v>
      </c>
      <c r="E5" s="7" t="s">
        <v>15</v>
      </c>
      <c r="F5" s="8" t="s">
        <v>16</v>
      </c>
      <c r="G5" s="5" t="s">
        <v>17</v>
      </c>
      <c r="H5" s="5" t="s">
        <v>18</v>
      </c>
      <c r="I5" s="9" t="s">
        <v>19</v>
      </c>
    </row>
    <row r="6" customFormat="false" ht="23.85" hidden="false" customHeight="false" outlineLevel="0" collapsed="false">
      <c r="A6" s="10" t="s">
        <v>20</v>
      </c>
      <c r="B6" s="11" t="s">
        <v>21</v>
      </c>
      <c r="C6" s="11" t="s">
        <v>22</v>
      </c>
      <c r="D6" s="12" t="s">
        <v>14</v>
      </c>
      <c r="E6" s="7" t="s">
        <v>15</v>
      </c>
      <c r="F6" s="8" t="s">
        <v>16</v>
      </c>
      <c r="G6" s="11" t="s">
        <v>23</v>
      </c>
      <c r="H6" s="11" t="s">
        <v>24</v>
      </c>
      <c r="I6" s="13" t="s">
        <v>25</v>
      </c>
    </row>
    <row r="7" customFormat="false" ht="23.85" hidden="false" customHeight="false" outlineLevel="0" collapsed="false">
      <c r="A7" s="4" t="s">
        <v>26</v>
      </c>
      <c r="B7" s="5" t="s">
        <v>27</v>
      </c>
      <c r="C7" s="5" t="s">
        <v>28</v>
      </c>
      <c r="D7" s="6" t="s">
        <v>29</v>
      </c>
      <c r="E7" s="7" t="s">
        <v>15</v>
      </c>
      <c r="F7" s="8" t="s">
        <v>16</v>
      </c>
      <c r="G7" s="5" t="s">
        <v>30</v>
      </c>
      <c r="H7" s="5" t="s">
        <v>31</v>
      </c>
      <c r="I7" s="9" t="s">
        <v>32</v>
      </c>
    </row>
    <row r="8" customFormat="false" ht="23.85" hidden="false" customHeight="false" outlineLevel="0" collapsed="false">
      <c r="A8" s="10" t="s">
        <v>33</v>
      </c>
      <c r="B8" s="11" t="s">
        <v>34</v>
      </c>
      <c r="C8" s="14" t="s">
        <v>35</v>
      </c>
      <c r="D8" s="12" t="s">
        <v>29</v>
      </c>
      <c r="E8" s="7" t="s">
        <v>36</v>
      </c>
      <c r="F8" s="8" t="s">
        <v>16</v>
      </c>
      <c r="G8" s="11" t="s">
        <v>37</v>
      </c>
      <c r="H8" s="11" t="s">
        <v>38</v>
      </c>
      <c r="I8" s="13" t="s">
        <v>39</v>
      </c>
    </row>
    <row r="9" customFormat="false" ht="23.85" hidden="false" customHeight="false" outlineLevel="0" collapsed="false">
      <c r="A9" s="4" t="s">
        <v>40</v>
      </c>
      <c r="B9" s="5" t="s">
        <v>41</v>
      </c>
      <c r="C9" s="15" t="s">
        <v>42</v>
      </c>
      <c r="D9" s="6" t="s">
        <v>14</v>
      </c>
      <c r="E9" s="7" t="s">
        <v>15</v>
      </c>
      <c r="F9" s="8" t="s">
        <v>16</v>
      </c>
      <c r="G9" s="5" t="s">
        <v>43</v>
      </c>
      <c r="H9" s="5" t="s">
        <v>44</v>
      </c>
      <c r="I9" s="9" t="s">
        <v>45</v>
      </c>
    </row>
    <row r="10" customFormat="false" ht="30" hidden="false" customHeight="true" outlineLevel="0" collapsed="false">
      <c r="A10" s="10" t="s">
        <v>46</v>
      </c>
      <c r="B10" s="11" t="s">
        <v>47</v>
      </c>
      <c r="C10" s="14" t="s">
        <v>48</v>
      </c>
      <c r="D10" s="12" t="s">
        <v>14</v>
      </c>
      <c r="E10" s="7" t="s">
        <v>15</v>
      </c>
      <c r="F10" s="8" t="s">
        <v>16</v>
      </c>
      <c r="G10" s="11" t="s">
        <v>23</v>
      </c>
      <c r="H10" s="11" t="s">
        <v>24</v>
      </c>
      <c r="I10" s="13" t="s">
        <v>25</v>
      </c>
    </row>
    <row r="11" customFormat="false" ht="30" hidden="false" customHeight="true" outlineLevel="0" collapsed="false">
      <c r="A11" s="4" t="s">
        <v>49</v>
      </c>
      <c r="B11" s="5"/>
      <c r="C11" s="5"/>
      <c r="D11" s="6"/>
      <c r="E11" s="7"/>
      <c r="F11" s="8"/>
      <c r="G11" s="5"/>
      <c r="H11" s="5"/>
      <c r="I11" s="9"/>
    </row>
    <row r="12" customFormat="false" ht="27.75" hidden="false" customHeight="true" outlineLevel="0" collapsed="false">
      <c r="A12" s="16" t="s">
        <v>50</v>
      </c>
      <c r="B12" s="17"/>
      <c r="C12" s="17"/>
      <c r="D12" s="18"/>
      <c r="E12" s="19"/>
      <c r="F12" s="20"/>
      <c r="G12" s="21"/>
      <c r="H12" s="21"/>
      <c r="I12" s="22"/>
    </row>
    <row r="13" customFormat="false" ht="27.75" hidden="false" customHeight="true" outlineLevel="0" collapsed="false">
      <c r="A13" s="16" t="s">
        <v>51</v>
      </c>
      <c r="B13" s="23"/>
      <c r="C13" s="23"/>
      <c r="D13" s="24"/>
      <c r="E13" s="19"/>
      <c r="F13" s="25"/>
      <c r="G13" s="26"/>
      <c r="H13" s="26"/>
      <c r="I13" s="27"/>
    </row>
    <row r="14" customFormat="false" ht="27.75" hidden="false" customHeight="true" outlineLevel="0" collapsed="false">
      <c r="A14" s="28" t="s">
        <v>52</v>
      </c>
      <c r="B14" s="21"/>
      <c r="C14" s="21"/>
      <c r="D14" s="20"/>
      <c r="E14" s="20"/>
      <c r="F14" s="20"/>
      <c r="G14" s="21"/>
      <c r="H14" s="21"/>
      <c r="I14" s="20"/>
    </row>
    <row r="15" customFormat="false" ht="27.75" hidden="false" customHeight="true" outlineLevel="0" collapsed="false">
      <c r="A15" s="28" t="s">
        <v>53</v>
      </c>
      <c r="B15" s="26"/>
      <c r="C15" s="26"/>
      <c r="D15" s="25"/>
      <c r="E15" s="25"/>
      <c r="F15" s="25"/>
      <c r="G15" s="26"/>
      <c r="H15" s="26"/>
      <c r="I15" s="25"/>
    </row>
    <row r="16" customFormat="false" ht="27.75" hidden="false" customHeight="true" outlineLevel="0" collapsed="false">
      <c r="A16" s="28" t="s">
        <v>54</v>
      </c>
      <c r="B16" s="21"/>
      <c r="C16" s="21"/>
      <c r="D16" s="20"/>
      <c r="E16" s="20"/>
      <c r="F16" s="20"/>
      <c r="G16" s="21"/>
      <c r="H16" s="21"/>
      <c r="I16" s="20"/>
    </row>
    <row r="17" customFormat="false" ht="27.75" hidden="false" customHeight="true" outlineLevel="0" collapsed="false">
      <c r="A17" s="28" t="s">
        <v>55</v>
      </c>
      <c r="B17" s="26"/>
      <c r="C17" s="26"/>
      <c r="D17" s="25"/>
      <c r="E17" s="25"/>
      <c r="F17" s="25"/>
      <c r="G17" s="26"/>
      <c r="H17" s="26"/>
      <c r="I17" s="25"/>
    </row>
    <row r="18" customFormat="false" ht="27.75" hidden="false" customHeight="true" outlineLevel="0" collapsed="false">
      <c r="A18" s="28" t="s">
        <v>56</v>
      </c>
      <c r="B18" s="21"/>
      <c r="C18" s="21"/>
      <c r="D18" s="20"/>
      <c r="E18" s="20"/>
      <c r="F18" s="20"/>
      <c r="G18" s="21"/>
      <c r="H18" s="21"/>
      <c r="I18" s="20"/>
    </row>
    <row r="19" customFormat="false" ht="27.75" hidden="false" customHeight="true" outlineLevel="0" collapsed="false">
      <c r="A19" s="28" t="s">
        <v>57</v>
      </c>
      <c r="B19" s="26"/>
      <c r="C19" s="26"/>
      <c r="D19" s="25"/>
      <c r="E19" s="25"/>
      <c r="F19" s="25"/>
      <c r="G19" s="26"/>
      <c r="H19" s="26"/>
      <c r="I19" s="25"/>
    </row>
    <row r="20" customFormat="false" ht="19.5" hidden="false" customHeight="true" outlineLevel="0" collapsed="false">
      <c r="A20" s="29" t="s">
        <v>58</v>
      </c>
      <c r="B20" s="29"/>
      <c r="C20" s="29"/>
      <c r="D20" s="29"/>
      <c r="E20" s="30" t="n">
        <f aca="false">COUNTA(A5:A19)</f>
        <v>15</v>
      </c>
      <c r="F20" s="31"/>
      <c r="G20" s="31"/>
      <c r="H20" s="31"/>
      <c r="I20" s="31"/>
    </row>
    <row r="21" customFormat="false" ht="15.75" hidden="false" customHeight="true" outlineLevel="0" collapsed="false"/>
    <row r="22" customFormat="false" ht="18" hidden="false" customHeight="true" outlineLevel="0" collapsed="false">
      <c r="A22" s="32" t="s">
        <v>59</v>
      </c>
      <c r="B22" s="32"/>
      <c r="C22" s="32"/>
      <c r="D22" s="32"/>
      <c r="E22" s="32"/>
      <c r="F22" s="32"/>
      <c r="G22" s="32"/>
      <c r="H22" s="32"/>
      <c r="I22" s="32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I1"/>
    <mergeCell ref="A2:I2"/>
    <mergeCell ref="A20:D20"/>
    <mergeCell ref="A22:I22"/>
  </mergeCells>
  <dataValidations count="2">
    <dataValidation allowBlank="true" errorStyle="stop" operator="between" showDropDown="false" showErrorMessage="false" showInputMessage="false" sqref="E5:E19" type="list">
      <formula1>"Alta,Média,Baixa"</formula1>
      <formula2>0</formula2>
    </dataValidation>
    <dataValidation allowBlank="true" errorStyle="stop" operator="between" showDropDown="false" showErrorMessage="false" showInputMessage="false" sqref="F5:F19" type="list">
      <formula1>"Pendente,Em curso,Concluído,Cancelado"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200" zoomScaleNormal="2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48.71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26" min="10" style="0" width="8.71"/>
  </cols>
  <sheetData>
    <row r="1" customFormat="false" ht="25.5" hidden="false" customHeight="true" outlineLevel="0" collapsed="false">
      <c r="A1" s="33" t="s">
        <v>60</v>
      </c>
      <c r="B1" s="33"/>
      <c r="C1" s="33"/>
      <c r="D1" s="33"/>
      <c r="E1" s="33"/>
      <c r="F1" s="33"/>
      <c r="G1" s="33"/>
      <c r="H1" s="33"/>
      <c r="I1" s="33"/>
    </row>
    <row r="2" customFormat="false" ht="18" hidden="false" customHeight="true" outlineLevel="0" collapsed="false">
      <c r="A2" s="34" t="s">
        <v>1</v>
      </c>
      <c r="B2" s="34"/>
      <c r="C2" s="34"/>
      <c r="D2" s="34"/>
      <c r="E2" s="34"/>
      <c r="F2" s="34"/>
      <c r="G2" s="34"/>
      <c r="H2" s="34"/>
      <c r="I2" s="34"/>
    </row>
    <row r="3" customFormat="false" ht="6" hidden="false" customHeight="true" outlineLevel="0" collapsed="false"/>
    <row r="4" customFormat="false" ht="21.75" hidden="false" customHeight="true" outlineLevel="0" collapsed="false">
      <c r="A4" s="35" t="s">
        <v>2</v>
      </c>
      <c r="B4" s="35" t="s">
        <v>3</v>
      </c>
      <c r="C4" s="35" t="s">
        <v>4</v>
      </c>
      <c r="D4" s="35" t="s">
        <v>5</v>
      </c>
      <c r="E4" s="35" t="s">
        <v>6</v>
      </c>
      <c r="F4" s="35" t="s">
        <v>7</v>
      </c>
      <c r="G4" s="35" t="s">
        <v>8</v>
      </c>
      <c r="H4" s="35" t="s">
        <v>9</v>
      </c>
      <c r="I4" s="35" t="s">
        <v>10</v>
      </c>
    </row>
    <row r="5" customFormat="false" ht="15" hidden="false" customHeight="false" outlineLevel="0" collapsed="false">
      <c r="A5" s="36" t="s">
        <v>11</v>
      </c>
      <c r="B5" s="5" t="s">
        <v>41</v>
      </c>
      <c r="C5" s="5" t="s">
        <v>61</v>
      </c>
      <c r="D5" s="6" t="s">
        <v>62</v>
      </c>
      <c r="E5" s="37" t="s">
        <v>15</v>
      </c>
      <c r="F5" s="8" t="s">
        <v>16</v>
      </c>
      <c r="G5" s="5" t="s">
        <v>63</v>
      </c>
      <c r="H5" s="5" t="s">
        <v>64</v>
      </c>
      <c r="I5" s="6" t="s">
        <v>65</v>
      </c>
    </row>
    <row r="6" customFormat="false" ht="15" hidden="false" customHeight="false" outlineLevel="0" collapsed="false">
      <c r="A6" s="38" t="s">
        <v>20</v>
      </c>
      <c r="B6" s="11" t="s">
        <v>66</v>
      </c>
      <c r="C6" s="11" t="s">
        <v>67</v>
      </c>
      <c r="D6" s="12" t="s">
        <v>14</v>
      </c>
      <c r="E6" s="37" t="s">
        <v>15</v>
      </c>
      <c r="F6" s="8" t="s">
        <v>16</v>
      </c>
      <c r="G6" s="11" t="s">
        <v>68</v>
      </c>
      <c r="H6" s="11" t="s">
        <v>69</v>
      </c>
      <c r="I6" s="12" t="s">
        <v>39</v>
      </c>
    </row>
    <row r="7" customFormat="false" ht="15" hidden="false" customHeight="false" outlineLevel="0" collapsed="false">
      <c r="A7" s="36" t="s">
        <v>26</v>
      </c>
      <c r="B7" s="5" t="s">
        <v>70</v>
      </c>
      <c r="C7" s="5" t="s">
        <v>71</v>
      </c>
      <c r="D7" s="6" t="s">
        <v>72</v>
      </c>
      <c r="E7" s="39" t="s">
        <v>36</v>
      </c>
      <c r="F7" s="8" t="s">
        <v>16</v>
      </c>
      <c r="G7" s="5" t="s">
        <v>73</v>
      </c>
      <c r="H7" s="5"/>
      <c r="I7" s="6" t="s">
        <v>74</v>
      </c>
    </row>
    <row r="8" customFormat="false" ht="30" hidden="false" customHeight="true" outlineLevel="0" collapsed="false">
      <c r="A8" s="38" t="s">
        <v>33</v>
      </c>
      <c r="B8" s="11" t="s">
        <v>75</v>
      </c>
      <c r="C8" s="11" t="s">
        <v>76</v>
      </c>
      <c r="D8" s="12" t="s">
        <v>62</v>
      </c>
      <c r="E8" s="39" t="s">
        <v>36</v>
      </c>
      <c r="F8" s="8" t="s">
        <v>16</v>
      </c>
      <c r="G8" s="11" t="s">
        <v>77</v>
      </c>
      <c r="H8" s="11"/>
      <c r="I8" s="12" t="s">
        <v>78</v>
      </c>
    </row>
    <row r="9" customFormat="false" ht="30" hidden="false" customHeight="true" outlineLevel="0" collapsed="false">
      <c r="A9" s="36" t="s">
        <v>40</v>
      </c>
      <c r="B9" s="5" t="s">
        <v>79</v>
      </c>
      <c r="C9" s="5" t="s">
        <v>80</v>
      </c>
      <c r="D9" s="6" t="s">
        <v>62</v>
      </c>
      <c r="E9" s="40" t="s">
        <v>81</v>
      </c>
      <c r="F9" s="8" t="s">
        <v>16</v>
      </c>
      <c r="G9" s="5" t="s">
        <v>82</v>
      </c>
      <c r="H9" s="5" t="s">
        <v>83</v>
      </c>
      <c r="I9" s="6" t="s">
        <v>79</v>
      </c>
    </row>
    <row r="10" customFormat="false" ht="27.75" hidden="false" customHeight="true" outlineLevel="0" collapsed="false">
      <c r="A10" s="41" t="s">
        <v>46</v>
      </c>
      <c r="B10" s="21"/>
      <c r="C10" s="21" t="s">
        <v>84</v>
      </c>
      <c r="D10" s="20"/>
      <c r="E10" s="20"/>
      <c r="F10" s="20"/>
      <c r="G10" s="21" t="s">
        <v>85</v>
      </c>
      <c r="H10" s="21"/>
      <c r="I10" s="20"/>
    </row>
    <row r="11" customFormat="false" ht="27.75" hidden="false" customHeight="true" outlineLevel="0" collapsed="false">
      <c r="A11" s="41" t="s">
        <v>86</v>
      </c>
      <c r="B11" s="26"/>
      <c r="C11" s="26"/>
      <c r="D11" s="25"/>
      <c r="E11" s="25"/>
      <c r="F11" s="25"/>
      <c r="G11" s="26"/>
      <c r="H11" s="26"/>
      <c r="I11" s="25"/>
    </row>
    <row r="12" customFormat="false" ht="27.75" hidden="false" customHeight="true" outlineLevel="0" collapsed="false">
      <c r="A12" s="41" t="s">
        <v>87</v>
      </c>
      <c r="B12" s="21"/>
      <c r="C12" s="21"/>
      <c r="D12" s="20"/>
      <c r="E12" s="20"/>
      <c r="F12" s="20"/>
      <c r="G12" s="21"/>
      <c r="H12" s="21"/>
      <c r="I12" s="20"/>
    </row>
    <row r="13" customFormat="false" ht="27.75" hidden="false" customHeight="true" outlineLevel="0" collapsed="false">
      <c r="A13" s="41" t="s">
        <v>88</v>
      </c>
      <c r="B13" s="26"/>
      <c r="C13" s="26"/>
      <c r="D13" s="25"/>
      <c r="E13" s="25"/>
      <c r="F13" s="25"/>
      <c r="G13" s="26"/>
      <c r="H13" s="26"/>
      <c r="I13" s="25"/>
    </row>
    <row r="14" customFormat="false" ht="27.75" hidden="false" customHeight="true" outlineLevel="0" collapsed="false">
      <c r="A14" s="41" t="s">
        <v>89</v>
      </c>
      <c r="B14" s="21"/>
      <c r="C14" s="21"/>
      <c r="D14" s="20"/>
      <c r="E14" s="20"/>
      <c r="F14" s="20"/>
      <c r="G14" s="21"/>
      <c r="H14" s="21"/>
      <c r="I14" s="20"/>
    </row>
    <row r="15" customFormat="false" ht="27.75" hidden="false" customHeight="true" outlineLevel="0" collapsed="false">
      <c r="A15" s="41" t="s">
        <v>90</v>
      </c>
      <c r="B15" s="26"/>
      <c r="C15" s="26"/>
      <c r="D15" s="25"/>
      <c r="E15" s="25"/>
      <c r="F15" s="25"/>
      <c r="G15" s="26"/>
      <c r="H15" s="26"/>
      <c r="I15" s="25"/>
    </row>
    <row r="16" customFormat="false" ht="27.75" hidden="false" customHeight="true" outlineLevel="0" collapsed="false">
      <c r="A16" s="41" t="s">
        <v>91</v>
      </c>
      <c r="B16" s="21"/>
      <c r="C16" s="21"/>
      <c r="D16" s="20"/>
      <c r="E16" s="20"/>
      <c r="F16" s="20"/>
      <c r="G16" s="21"/>
      <c r="H16" s="21"/>
      <c r="I16" s="20"/>
    </row>
    <row r="17" customFormat="false" ht="27.75" hidden="false" customHeight="true" outlineLevel="0" collapsed="false">
      <c r="A17" s="41" t="s">
        <v>92</v>
      </c>
      <c r="B17" s="26"/>
      <c r="C17" s="26"/>
      <c r="D17" s="25"/>
      <c r="E17" s="25"/>
      <c r="F17" s="25"/>
      <c r="G17" s="26"/>
      <c r="H17" s="26"/>
      <c r="I17" s="25"/>
    </row>
    <row r="18" customFormat="false" ht="19.5" hidden="false" customHeight="true" outlineLevel="0" collapsed="false">
      <c r="A18" s="42" t="s">
        <v>93</v>
      </c>
      <c r="B18" s="42"/>
      <c r="C18" s="42"/>
      <c r="D18" s="42"/>
      <c r="E18" s="43" t="n">
        <f aca="false">COUNTA(A5:A17)</f>
        <v>13</v>
      </c>
      <c r="F18" s="44"/>
      <c r="G18" s="44"/>
      <c r="H18" s="44"/>
      <c r="I18" s="44"/>
    </row>
    <row r="20" customFormat="false" ht="18" hidden="false" customHeight="true" outlineLevel="0" collapsed="false">
      <c r="A20" s="32" t="s">
        <v>59</v>
      </c>
      <c r="B20" s="32"/>
      <c r="C20" s="32"/>
      <c r="D20" s="32"/>
      <c r="E20" s="32"/>
      <c r="F20" s="32"/>
      <c r="G20" s="32"/>
      <c r="H20" s="32"/>
      <c r="I20" s="32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I1"/>
    <mergeCell ref="A2:I2"/>
    <mergeCell ref="A18:D18"/>
    <mergeCell ref="A20:I20"/>
  </mergeCells>
  <dataValidations count="2">
    <dataValidation allowBlank="true" errorStyle="stop" operator="between" showDropDown="false" showErrorMessage="false" showInputMessage="false" sqref="E5:E17" type="list">
      <formula1>"Alta,Média,Baixa"</formula1>
      <formula2>0</formula2>
    </dataValidation>
    <dataValidation allowBlank="true" errorStyle="stop" operator="between" showDropDown="false" showErrorMessage="false" showInputMessage="false" sqref="F5:F17" type="list">
      <formula1>"Pendente,Em curso,Concluído,Cancelado"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  <col collapsed="false" customWidth="true" hidden="false" outlineLevel="0" max="26" min="6" style="0" width="8.71"/>
  </cols>
  <sheetData>
    <row r="1" customFormat="false" ht="30" hidden="false" customHeight="true" outlineLevel="0" collapsed="false">
      <c r="A1" s="45" t="s">
        <v>94</v>
      </c>
      <c r="B1" s="45"/>
      <c r="C1" s="45"/>
      <c r="D1" s="45"/>
      <c r="E1" s="45"/>
    </row>
    <row r="2" customFormat="false" ht="18" hidden="false" customHeight="true" outlineLevel="0" collapsed="false">
      <c r="A2" s="46" t="s">
        <v>95</v>
      </c>
      <c r="B2" s="46"/>
      <c r="C2" s="46"/>
      <c r="D2" s="46"/>
      <c r="E2" s="46"/>
    </row>
    <row r="3" customFormat="false" ht="9.75" hidden="false" customHeight="true" outlineLevel="0" collapsed="false"/>
    <row r="4" customFormat="false" ht="19.5" hidden="false" customHeight="true" outlineLevel="0" collapsed="false">
      <c r="A4" s="3" t="s">
        <v>96</v>
      </c>
      <c r="B4" s="3" t="s">
        <v>97</v>
      </c>
      <c r="C4" s="3" t="s">
        <v>98</v>
      </c>
      <c r="D4" s="3" t="s">
        <v>99</v>
      </c>
      <c r="E4" s="3"/>
    </row>
    <row r="5" customFormat="false" ht="21.75" hidden="false" customHeight="true" outlineLevel="0" collapsed="false">
      <c r="A5" s="47" t="s">
        <v>100</v>
      </c>
      <c r="B5" s="48" t="n">
        <f aca="false">'Req. Funcionais (RF)'!E20</f>
        <v>15</v>
      </c>
      <c r="C5" s="49" t="n">
        <f aca="false">'Req. Não Funcionais (RNF)'!E15</f>
        <v>0</v>
      </c>
      <c r="D5" s="48" t="n">
        <f aca="false">B5+C5</f>
        <v>15</v>
      </c>
      <c r="E5" s="50"/>
    </row>
    <row r="6" customFormat="false" ht="21.75" hidden="false" customHeight="true" outlineLevel="0" collapsed="false">
      <c r="A6" s="51" t="s">
        <v>101</v>
      </c>
      <c r="B6" s="52" t="n">
        <f aca="false">COUNTIF('Req. Funcionais (RF)'!E5:E19,"Alta")</f>
        <v>5</v>
      </c>
      <c r="C6" s="53" t="n">
        <f aca="false">COUNTIF('Req. Não Funcionais (RNF)'!E5:E14,"Alta")</f>
        <v>2</v>
      </c>
      <c r="D6" s="54" t="n">
        <f aca="false">B6+C6</f>
        <v>7</v>
      </c>
      <c r="E6" s="50"/>
    </row>
    <row r="7" customFormat="false" ht="21.75" hidden="false" customHeight="true" outlineLevel="0" collapsed="false">
      <c r="A7" s="51" t="s">
        <v>102</v>
      </c>
      <c r="B7" s="52" t="n">
        <f aca="false">COUNTIF('Req. Funcionais (RF)'!E5:E19,"Média")</f>
        <v>1</v>
      </c>
      <c r="C7" s="53" t="n">
        <f aca="false">COUNTIF('Req. Não Funcionais (RNF)'!E5:E14,"Média")</f>
        <v>2</v>
      </c>
      <c r="D7" s="54" t="n">
        <f aca="false">B7+C7</f>
        <v>3</v>
      </c>
      <c r="E7" s="50"/>
    </row>
    <row r="8" customFormat="false" ht="21.75" hidden="false" customHeight="true" outlineLevel="0" collapsed="false">
      <c r="A8" s="51" t="s">
        <v>103</v>
      </c>
      <c r="B8" s="52" t="n">
        <f aca="false">COUNTIF('Req. Funcionais (RF)'!E5:E19,"Baixa")</f>
        <v>0</v>
      </c>
      <c r="C8" s="53" t="n">
        <f aca="false">COUNTIF('Req. Não Funcionais (RNF)'!E5:E14,"Baixa")</f>
        <v>1</v>
      </c>
      <c r="D8" s="54" t="n">
        <f aca="false">B8+C8</f>
        <v>1</v>
      </c>
      <c r="E8" s="50"/>
    </row>
    <row r="9" customFormat="false" ht="21.75" hidden="false" customHeight="true" outlineLevel="0" collapsed="false">
      <c r="A9" s="51" t="s">
        <v>104</v>
      </c>
      <c r="B9" s="52" t="n">
        <f aca="false">COUNTIF('Req. Funcionais (RF)'!F5:F19,"Concluído")</f>
        <v>0</v>
      </c>
      <c r="C9" s="53" t="n">
        <f aca="false">COUNTIF('Req. Não Funcionais (RNF)'!F5:F14,"Concluído")</f>
        <v>0</v>
      </c>
      <c r="D9" s="54" t="n">
        <f aca="false">B9+C9</f>
        <v>0</v>
      </c>
      <c r="E9" s="50"/>
    </row>
    <row r="10" customFormat="false" ht="21.75" hidden="false" customHeight="true" outlineLevel="0" collapsed="false">
      <c r="A10" s="51" t="s">
        <v>105</v>
      </c>
      <c r="B10" s="52" t="n">
        <f aca="false">COUNTIF('Req. Funcionais (RF)'!F5:F19,"Pendente")</f>
        <v>6</v>
      </c>
      <c r="C10" s="53" t="n">
        <f aca="false">COUNTIF('Req. Não Funcionais (RNF)'!F5:F14,"Pendente")</f>
        <v>5</v>
      </c>
      <c r="D10" s="54" t="n">
        <f aca="false">B10+C10</f>
        <v>11</v>
      </c>
      <c r="E10" s="50"/>
    </row>
    <row r="11" customFormat="false" ht="21.75" hidden="false" customHeight="true" outlineLevel="0" collapsed="false">
      <c r="A11" s="51" t="s">
        <v>106</v>
      </c>
      <c r="B11" s="52" t="n">
        <f aca="false">COUNTIF('Req. Funcionais (RF)'!F5:F19,"Em curso")</f>
        <v>0</v>
      </c>
      <c r="C11" s="53" t="n">
        <f aca="false">COUNTIF('Req. Não Funcionais (RNF)'!F5:F14,"Em curso")</f>
        <v>0</v>
      </c>
      <c r="D11" s="54" t="n">
        <f aca="false">B11+C11</f>
        <v>0</v>
      </c>
      <c r="E11" s="50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2026-06-01T18:35:13Z</dcterms:created>
  <dc:creator>Carlos Barata</dc:creator>
  <dc:description/>
  <dc:language>pt-PT</dc:language>
  <cp:lastModifiedBy/>
  <dcterms:modified xsi:type="dcterms:W3CDTF">2026-06-02T14:32:57Z</dcterms:modified>
  <cp:revision>3</cp:revision>
  <dc:subject/>
  <dc:title/>
</cp:coreProperties>
</file>